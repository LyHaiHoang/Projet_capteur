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Projet_capteur\"/>
    </mc:Choice>
  </mc:AlternateContent>
  <xr:revisionPtr revIDLastSave="0" documentId="13_ncr:1_{E0C582B5-150C-4321-AA93-F1ABEB76569D}" xr6:coauthVersionLast="40" xr6:coauthVersionMax="40" xr10:uidLastSave="{00000000-0000-0000-0000-000000000000}"/>
  <bookViews>
    <workbookView xWindow="0" yWindow="0" windowWidth="23040" windowHeight="9048" firstSheet="1" activeTab="1" xr2:uid="{26616443-A70B-4F30-8590-3C8F2284DA29}"/>
  </bookViews>
  <sheets>
    <sheet name="Feuil1" sheetId="1" r:id="rId1"/>
    <sheet name="Mise en tension" sheetId="2" r:id="rId2"/>
    <sheet name="Mise en compression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2" l="1"/>
  <c r="H29" i="2"/>
  <c r="H30" i="2"/>
  <c r="H31" i="2"/>
  <c r="H32" i="2"/>
  <c r="H33" i="2"/>
  <c r="H34" i="2"/>
  <c r="H29" i="4"/>
  <c r="H30" i="4"/>
  <c r="H31" i="4"/>
  <c r="H32" i="4"/>
  <c r="H33" i="4"/>
  <c r="H34" i="4"/>
  <c r="H28" i="4"/>
  <c r="D29" i="2"/>
  <c r="H18" i="4"/>
  <c r="H19" i="4"/>
  <c r="H20" i="4"/>
  <c r="H21" i="4"/>
  <c r="H22" i="4"/>
  <c r="H23" i="4"/>
  <c r="H17" i="4"/>
  <c r="H18" i="2"/>
  <c r="H19" i="2"/>
  <c r="H20" i="2"/>
  <c r="H21" i="2"/>
  <c r="H22" i="2"/>
  <c r="H23" i="2"/>
  <c r="H17" i="2"/>
  <c r="D45" i="4" l="1"/>
  <c r="C45" i="4"/>
  <c r="D44" i="4"/>
  <c r="C44" i="4"/>
  <c r="D43" i="4"/>
  <c r="C43" i="4"/>
  <c r="D42" i="4"/>
  <c r="C42" i="4"/>
  <c r="D41" i="4"/>
  <c r="C41" i="4"/>
  <c r="D40" i="4"/>
  <c r="C40" i="4"/>
  <c r="D34" i="4"/>
  <c r="C34" i="4"/>
  <c r="D33" i="4"/>
  <c r="C33" i="4"/>
  <c r="D32" i="4"/>
  <c r="C32" i="4"/>
  <c r="D31" i="4"/>
  <c r="C31" i="4"/>
  <c r="D30" i="4"/>
  <c r="C30" i="4"/>
  <c r="D29" i="4"/>
  <c r="C29" i="4"/>
  <c r="D23" i="4"/>
  <c r="C23" i="4"/>
  <c r="D22" i="4"/>
  <c r="C22" i="4"/>
  <c r="D21" i="4"/>
  <c r="C21" i="4"/>
  <c r="D20" i="4"/>
  <c r="C20" i="4"/>
  <c r="D19" i="4"/>
  <c r="C19" i="4"/>
  <c r="D18" i="4"/>
  <c r="C18" i="4"/>
  <c r="D12" i="4"/>
  <c r="C12" i="4"/>
  <c r="D11" i="4"/>
  <c r="C11" i="4"/>
  <c r="D10" i="4"/>
  <c r="C10" i="4"/>
  <c r="D9" i="4"/>
  <c r="C9" i="4"/>
  <c r="D8" i="4"/>
  <c r="C8" i="4"/>
  <c r="D7" i="4"/>
  <c r="C7" i="4"/>
  <c r="D45" i="2"/>
  <c r="C45" i="2"/>
  <c r="D44" i="2"/>
  <c r="C44" i="2"/>
  <c r="D43" i="2"/>
  <c r="C43" i="2"/>
  <c r="D42" i="2"/>
  <c r="C42" i="2"/>
  <c r="D41" i="2"/>
  <c r="C41" i="2"/>
  <c r="D40" i="2"/>
  <c r="C40" i="2"/>
  <c r="D34" i="2"/>
  <c r="C34" i="2"/>
  <c r="D33" i="2"/>
  <c r="C33" i="2"/>
  <c r="D32" i="2"/>
  <c r="C32" i="2"/>
  <c r="D31" i="2"/>
  <c r="C31" i="2"/>
  <c r="D30" i="2"/>
  <c r="C30" i="2"/>
  <c r="C29" i="2"/>
  <c r="D8" i="2"/>
  <c r="D9" i="2"/>
  <c r="D10" i="2"/>
  <c r="D11" i="2"/>
  <c r="D12" i="2"/>
  <c r="D7" i="2"/>
  <c r="D19" i="2"/>
  <c r="D20" i="2"/>
  <c r="D21" i="2"/>
  <c r="D22" i="2"/>
  <c r="D23" i="2"/>
  <c r="D18" i="2"/>
  <c r="C19" i="2"/>
  <c r="C20" i="2"/>
  <c r="C21" i="2"/>
  <c r="C22" i="2"/>
  <c r="C23" i="2"/>
  <c r="C18" i="2"/>
  <c r="C8" i="2"/>
  <c r="C9" i="2"/>
  <c r="C10" i="2"/>
  <c r="C11" i="2"/>
  <c r="C12" i="2"/>
  <c r="C7" i="2"/>
  <c r="C21" i="1" l="1"/>
  <c r="C22" i="1"/>
  <c r="C23" i="1"/>
  <c r="C24" i="1"/>
  <c r="C25" i="1"/>
  <c r="C26" i="1"/>
  <c r="C27" i="1"/>
  <c r="C17" i="1"/>
  <c r="C16" i="1"/>
  <c r="C15" i="1"/>
  <c r="C14" i="1"/>
  <c r="C7" i="1"/>
  <c r="C13" i="1"/>
  <c r="C12" i="1"/>
  <c r="C11" i="1"/>
  <c r="C8" i="1"/>
  <c r="C9" i="1"/>
  <c r="C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</author>
  </authors>
  <commentList>
    <comment ref="D14" authorId="0" shapeId="0" xr:uid="{FE885492-DFA0-4FE2-AE31-681DCE5B7247}">
      <text>
        <r>
          <rPr>
            <b/>
            <sz val="9"/>
            <color indexed="81"/>
            <rFont val="Tahoma"/>
            <family val="2"/>
          </rPr>
          <t>Y:</t>
        </r>
        <r>
          <rPr>
            <sz val="9"/>
            <color indexed="81"/>
            <rFont val="Tahoma"/>
            <family val="2"/>
          </rPr>
          <t xml:space="preserve">
2,23V
179588032</t>
        </r>
      </text>
    </comment>
    <comment ref="D24" authorId="0" shapeId="0" xr:uid="{AF994D20-BA4B-4A31-ACB8-2052DE459938}">
      <text>
        <r>
          <rPr>
            <b/>
            <sz val="9"/>
            <color indexed="81"/>
            <rFont val="Tahoma"/>
            <family val="2"/>
          </rPr>
          <t>Y:</t>
        </r>
        <r>
          <rPr>
            <sz val="9"/>
            <color indexed="81"/>
            <rFont val="Tahoma"/>
            <family val="2"/>
          </rPr>
          <t xml:space="preserve">
2,23V
179588032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</author>
  </authors>
  <commentList>
    <comment ref="E9" authorId="0" shapeId="0" xr:uid="{B23A6775-1F38-4D1C-A169-FCC8B1D3E988}">
      <text>
        <r>
          <rPr>
            <b/>
            <sz val="9"/>
            <color indexed="81"/>
            <rFont val="Tahoma"/>
            <family val="2"/>
          </rPr>
          <t>Y:</t>
        </r>
        <r>
          <rPr>
            <sz val="9"/>
            <color indexed="81"/>
            <rFont val="Tahoma"/>
            <family val="2"/>
          </rPr>
          <t xml:space="preserve">
2,23V
179588032</t>
        </r>
      </text>
    </comment>
  </commentList>
</comments>
</file>

<file path=xl/sharedStrings.xml><?xml version="1.0" encoding="utf-8"?>
<sst xmlns="http://schemas.openxmlformats.org/spreadsheetml/2006/main" count="80" uniqueCount="22">
  <si>
    <t>Graphite Sensor</t>
  </si>
  <si>
    <t>Tension</t>
  </si>
  <si>
    <t>Rayon de courbure (m)</t>
  </si>
  <si>
    <t>Déformation (m)</t>
  </si>
  <si>
    <t>Crayon 2HB</t>
  </si>
  <si>
    <t>Resistance (ohm)</t>
  </si>
  <si>
    <t>Numéro cercle</t>
  </si>
  <si>
    <t>Rayon (mm)</t>
  </si>
  <si>
    <t>160 g.m-2</t>
  </si>
  <si>
    <t>e (mm)</t>
  </si>
  <si>
    <t>Courbure (mm-1)</t>
  </si>
  <si>
    <t>Déformation</t>
  </si>
  <si>
    <t>pot 128</t>
  </si>
  <si>
    <t>Crayon HB</t>
  </si>
  <si>
    <t>pot 1</t>
  </si>
  <si>
    <t>Crayon 2B</t>
  </si>
  <si>
    <t>pot …</t>
  </si>
  <si>
    <t>COMPRESSION</t>
  </si>
  <si>
    <t>TENSION</t>
  </si>
  <si>
    <t>pot 43</t>
  </si>
  <si>
    <t>ΔR/R0</t>
  </si>
  <si>
    <t>pot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</si>
</sst>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4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/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3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'Mise en tension'!$H$16</c:f>
              <c:strCache>
                <c:ptCount val="1"/>
                <c:pt idx="0">
                  <c:v>ΔR/R0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'Mise en tension'!$D$17:$D$23</c:f>
              <c:numCache>
                <c:formatCode>General</c:formatCode>
                <c:ptCount val="7"/>
                <c:pt idx="0">
                  <c:v>0</c:v>
                </c:pt>
                <c:pt idx="1">
                  <c:v>0.01</c:v>
                </c:pt>
                <c:pt idx="2">
                  <c:v>8.0000000000000002E-3</c:v>
                </c:pt>
                <c:pt idx="3">
                  <c:v>6.6666666666666671E-3</c:v>
                </c:pt>
                <c:pt idx="4">
                  <c:v>5.7142857142857143E-3</c:v>
                </c:pt>
                <c:pt idx="5">
                  <c:v>5.0000000000000001E-3</c:v>
                </c:pt>
                <c:pt idx="6">
                  <c:v>4.4444444444444444E-3</c:v>
                </c:pt>
              </c:numCache>
            </c:numRef>
          </c:xVal>
          <c:yVal>
            <c:numRef>
              <c:f>'Mise en tension'!$H$17:$H$23</c:f>
              <c:numCache>
                <c:formatCode>General</c:formatCode>
                <c:ptCount val="7"/>
                <c:pt idx="0">
                  <c:v>0</c:v>
                </c:pt>
                <c:pt idx="1">
                  <c:v>9.2292530259875397E-2</c:v>
                </c:pt>
                <c:pt idx="2">
                  <c:v>0.27481127276802436</c:v>
                </c:pt>
                <c:pt idx="3">
                  <c:v>0.32813464277039384</c:v>
                </c:pt>
                <c:pt idx="4">
                  <c:v>0.47082470316864478</c:v>
                </c:pt>
                <c:pt idx="5">
                  <c:v>0.55429295945687818</c:v>
                </c:pt>
                <c:pt idx="6">
                  <c:v>0.54823416602951858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FE-4F94-A9C5-8D6D8F80D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235791"/>
        <c:axId val="944977199"/>
      </c:scatterChart>
      <c:valAx>
        <c:axId val="1263235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4977199"/>
        <c:crosses val="autoZero"/>
        <c:crossBetween val="midCat"/>
      </c:valAx>
      <c:valAx>
        <c:axId val="94497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3235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'Mise en tension'!$H$27</c:f>
              <c:strCache>
                <c:ptCount val="1"/>
                <c:pt idx="0">
                  <c:v>ΔR/R0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'Mise en tension'!$D$28:$D$34</c:f>
              <c:numCache>
                <c:formatCode>General</c:formatCode>
                <c:ptCount val="7"/>
                <c:pt idx="0">
                  <c:v>0</c:v>
                </c:pt>
                <c:pt idx="1">
                  <c:v>0.01</c:v>
                </c:pt>
                <c:pt idx="2">
                  <c:v>8.0000000000000002E-3</c:v>
                </c:pt>
                <c:pt idx="3">
                  <c:v>6.6666666666666671E-3</c:v>
                </c:pt>
                <c:pt idx="4">
                  <c:v>5.7142857142857143E-3</c:v>
                </c:pt>
                <c:pt idx="5">
                  <c:v>5.0000000000000001E-3</c:v>
                </c:pt>
                <c:pt idx="6">
                  <c:v>4.4444444444444444E-3</c:v>
                </c:pt>
              </c:numCache>
            </c:numRef>
          </c:xVal>
          <c:yVal>
            <c:numRef>
              <c:f>'Mise en tension'!$H$28:$H$34</c:f>
              <c:numCache>
                <c:formatCode>General</c:formatCode>
                <c:ptCount val="7"/>
                <c:pt idx="0">
                  <c:v>0</c:v>
                </c:pt>
                <c:pt idx="1">
                  <c:v>0.63856469630663215</c:v>
                </c:pt>
                <c:pt idx="2">
                  <c:v>0.30559882631919938</c:v>
                </c:pt>
                <c:pt idx="3">
                  <c:v>0.25792532951334979</c:v>
                </c:pt>
                <c:pt idx="4">
                  <c:v>0.13561473893719692</c:v>
                </c:pt>
                <c:pt idx="5">
                  <c:v>0.10676887640305498</c:v>
                </c:pt>
                <c:pt idx="6">
                  <c:v>7.9344093409720859E-2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D9-4A90-B16E-20D425281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779983"/>
        <c:axId val="1388343279"/>
      </c:scatterChart>
      <c:valAx>
        <c:axId val="1258779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8343279"/>
        <c:crosses val="autoZero"/>
        <c:crossBetween val="midCat"/>
      </c:valAx>
      <c:valAx>
        <c:axId val="138834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8779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'Mise en compression'!$H$16</c:f>
              <c:strCache>
                <c:ptCount val="1"/>
                <c:pt idx="0">
                  <c:v>ΔR/R0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'Mise en compression'!$D$17:$D$23</c:f>
              <c:numCache>
                <c:formatCode>General</c:formatCode>
                <c:ptCount val="7"/>
                <c:pt idx="0">
                  <c:v>0</c:v>
                </c:pt>
                <c:pt idx="1">
                  <c:v>9.4999999999999998E-3</c:v>
                </c:pt>
                <c:pt idx="2">
                  <c:v>7.6E-3</c:v>
                </c:pt>
                <c:pt idx="3">
                  <c:v>6.3333333333333332E-3</c:v>
                </c:pt>
                <c:pt idx="4">
                  <c:v>5.4285714285714284E-3</c:v>
                </c:pt>
                <c:pt idx="5">
                  <c:v>4.7499999999999999E-3</c:v>
                </c:pt>
                <c:pt idx="6">
                  <c:v>4.2222222222222227E-3</c:v>
                </c:pt>
              </c:numCache>
            </c:numRef>
          </c:xVal>
          <c:yVal>
            <c:numRef>
              <c:f>'Mise en compression'!$H$17:$H$23</c:f>
              <c:numCache>
                <c:formatCode>General</c:formatCode>
                <c:ptCount val="7"/>
                <c:pt idx="0">
                  <c:v>0</c:v>
                </c:pt>
                <c:pt idx="1">
                  <c:v>-0.383780565665713</c:v>
                </c:pt>
                <c:pt idx="2">
                  <c:v>-0.42624306851264204</c:v>
                </c:pt>
                <c:pt idx="3">
                  <c:v>-0.52467899707992482</c:v>
                </c:pt>
                <c:pt idx="4">
                  <c:v>-0.58633949243030836</c:v>
                </c:pt>
                <c:pt idx="5">
                  <c:v>-0.61339280289543296</c:v>
                </c:pt>
                <c:pt idx="6">
                  <c:v>-0.44903876473657039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23-4E11-ADC7-0AB70703A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198911"/>
        <c:axId val="944970543"/>
      </c:scatterChart>
      <c:valAx>
        <c:axId val="125719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4970543"/>
        <c:crosses val="autoZero"/>
        <c:crossBetween val="midCat"/>
      </c:valAx>
      <c:valAx>
        <c:axId val="94497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7198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'Mise en compression'!$H$27</c:f>
              <c:strCache>
                <c:ptCount val="1"/>
                <c:pt idx="0">
                  <c:v>ΔR/R0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'Mise en compression'!$D$28:$D$34</c:f>
              <c:numCache>
                <c:formatCode>General</c:formatCode>
                <c:ptCount val="7"/>
                <c:pt idx="0">
                  <c:v>0</c:v>
                </c:pt>
                <c:pt idx="1">
                  <c:v>9.4999999999999998E-3</c:v>
                </c:pt>
                <c:pt idx="2">
                  <c:v>7.6E-3</c:v>
                </c:pt>
                <c:pt idx="3">
                  <c:v>6.3333333333333332E-3</c:v>
                </c:pt>
                <c:pt idx="4">
                  <c:v>5.4285714285714284E-3</c:v>
                </c:pt>
                <c:pt idx="5">
                  <c:v>4.7499999999999999E-3</c:v>
                </c:pt>
                <c:pt idx="6">
                  <c:v>4.2222222222222227E-3</c:v>
                </c:pt>
              </c:numCache>
            </c:numRef>
          </c:xVal>
          <c:yVal>
            <c:numRef>
              <c:f>'Mise en compression'!$H$28:$H$34</c:f>
              <c:numCache>
                <c:formatCode>General</c:formatCode>
                <c:ptCount val="7"/>
                <c:pt idx="0">
                  <c:v>0</c:v>
                </c:pt>
                <c:pt idx="1">
                  <c:v>-0.59354869101315466</c:v>
                </c:pt>
                <c:pt idx="2">
                  <c:v>-0.57558340403656116</c:v>
                </c:pt>
                <c:pt idx="3">
                  <c:v>-0.54783755009603174</c:v>
                </c:pt>
                <c:pt idx="4">
                  <c:v>-0.49943657165211042</c:v>
                </c:pt>
                <c:pt idx="5">
                  <c:v>-0.45015800059293426</c:v>
                </c:pt>
                <c:pt idx="6">
                  <c:v>-0.42458707096112186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B4-498D-8AAF-68F4B6755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761183"/>
        <c:axId val="1388341199"/>
      </c:scatterChart>
      <c:valAx>
        <c:axId val="1258761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8341199"/>
        <c:crosses val="autoZero"/>
        <c:crossBetween val="midCat"/>
      </c:valAx>
      <c:valAx>
        <c:axId val="138834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8761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548640</xdr:colOff>
      <xdr:row>0</xdr:row>
      <xdr:rowOff>118110</xdr:rowOff>
    </xdr:from>
    <xdr:to>
      <xdr:col>14</xdr:col>
      <xdr:colOff>365760</xdr:colOff>
      <xdr:row>15</xdr:row>
      <xdr:rowOff>118110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FDDE150-DF85-4D0C-8F25-4CE38BDF8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609600</xdr:colOff>
      <xdr:row>25</xdr:row>
      <xdr:rowOff>64770</xdr:rowOff>
    </xdr:from>
    <xdr:to>
      <xdr:col>14</xdr:col>
      <xdr:colOff>426720</xdr:colOff>
      <xdr:row>40</xdr:row>
      <xdr:rowOff>64770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9941FD7-04AA-474A-9CAB-B54514864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3</xdr:row>
      <xdr:rowOff>125730</xdr:rowOff>
    </xdr:from>
    <xdr:to>
      <xdr:col>14</xdr:col>
      <xdr:colOff>121920</xdr:colOff>
      <xdr:row>18</xdr:row>
      <xdr:rowOff>125730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DD96944-CF81-4243-8F53-4A6482B46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510540</xdr:colOff>
      <xdr:row>22</xdr:row>
      <xdr:rowOff>11430</xdr:rowOff>
    </xdr:from>
    <xdr:to>
      <xdr:col>14</xdr:col>
      <xdr:colOff>327660</xdr:colOff>
      <xdr:row>37</xdr:row>
      <xdr:rowOff>11430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7793210-6FCE-406B-9BCB-4212D1A6B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11D32-753C-406C-A8AF-6D384DFD9D4A}">
  <dimension ref="A1:E27"/>
  <sheetViews>
    <sheetView workbookViewId="0">
      <selection activeCell="B4" sqref="B4"/>
    </sheetView>
  </sheetViews>
  <sheetFormatPr baseColWidth="10" defaultRowHeight="14.4" x14ac:dyDescent="0.3"/>
  <cols>
    <col min="2" max="2" width="19.44140625" customWidth="1"/>
    <col min="3" max="3" width="19.5546875" customWidth="1"/>
    <col min="5" max="5" width="15.88671875" customWidth="1"/>
    <col min="7" max="7" width="11.5546875" customWidth="1"/>
  </cols>
  <sheetData>
    <row r="1" spans="1:5" x14ac:dyDescent="0.3">
      <c r="B1" t="s">
        <v>0</v>
      </c>
    </row>
    <row r="4" spans="1:5" x14ac:dyDescent="0.3">
      <c r="B4" t="s">
        <v>4</v>
      </c>
    </row>
    <row r="5" spans="1:5" x14ac:dyDescent="0.3">
      <c r="B5" t="s">
        <v>2</v>
      </c>
      <c r="C5" t="s">
        <v>3</v>
      </c>
      <c r="D5" t="s">
        <v>1</v>
      </c>
      <c r="E5" t="s">
        <v>5</v>
      </c>
    </row>
    <row r="6" spans="1:5" x14ac:dyDescent="0.3">
      <c r="B6">
        <v>0</v>
      </c>
      <c r="C6">
        <v>0</v>
      </c>
      <c r="D6">
        <v>4.99</v>
      </c>
      <c r="E6">
        <v>80146904</v>
      </c>
    </row>
    <row r="7" spans="1:5" x14ac:dyDescent="0.3">
      <c r="B7">
        <v>0.01</v>
      </c>
      <c r="C7">
        <f>'Mise en tension'!$B$2/(2*B7)</f>
        <v>10</v>
      </c>
    </row>
    <row r="8" spans="1:5" x14ac:dyDescent="0.3">
      <c r="B8">
        <v>1.2500000000000001E-2</v>
      </c>
      <c r="C8">
        <f>'Mise en tension'!$B$2/(2*B8)</f>
        <v>8</v>
      </c>
    </row>
    <row r="9" spans="1:5" x14ac:dyDescent="0.3">
      <c r="B9">
        <v>1.4999999999999999E-2</v>
      </c>
      <c r="C9">
        <f>'Mise en tension'!$B$2/(2*B9)</f>
        <v>6.666666666666667</v>
      </c>
    </row>
    <row r="10" spans="1:5" x14ac:dyDescent="0.3">
      <c r="B10">
        <v>1.7500000000000002E-2</v>
      </c>
      <c r="C10">
        <f>'Mise en tension'!$B$2/(2*B10)</f>
        <v>5.7142857142857144</v>
      </c>
    </row>
    <row r="11" spans="1:5" x14ac:dyDescent="0.3">
      <c r="A11">
        <v>1</v>
      </c>
      <c r="B11">
        <v>0.02</v>
      </c>
      <c r="C11">
        <f>'Mise en tension'!$B$2/(2*B11)</f>
        <v>5</v>
      </c>
      <c r="D11">
        <v>2.52</v>
      </c>
      <c r="E11">
        <v>158692912</v>
      </c>
    </row>
    <row r="12" spans="1:5" x14ac:dyDescent="0.3">
      <c r="B12">
        <v>2.2499999999999999E-2</v>
      </c>
      <c r="C12">
        <f>'Mise en tension'!$B$2/(2*B12)</f>
        <v>4.4444444444444446</v>
      </c>
    </row>
    <row r="13" spans="1:5" x14ac:dyDescent="0.3">
      <c r="A13">
        <v>2</v>
      </c>
      <c r="B13">
        <v>2.5000000000000001E-2</v>
      </c>
      <c r="C13">
        <f>'Mise en tension'!$B$2/(2*B13)</f>
        <v>4</v>
      </c>
      <c r="D13">
        <v>2.35</v>
      </c>
      <c r="E13">
        <v>170603136</v>
      </c>
    </row>
    <row r="14" spans="1:5" x14ac:dyDescent="0.3">
      <c r="A14">
        <v>3</v>
      </c>
      <c r="B14">
        <v>0.03</v>
      </c>
      <c r="C14">
        <f>'Mise en tension'!$B$2/(2*B14)</f>
        <v>3.3333333333333335</v>
      </c>
      <c r="D14">
        <v>2.31</v>
      </c>
      <c r="E14">
        <v>173129536</v>
      </c>
    </row>
    <row r="15" spans="1:5" x14ac:dyDescent="0.3">
      <c r="A15">
        <v>4</v>
      </c>
      <c r="B15">
        <v>3.5000000000000003E-2</v>
      </c>
      <c r="C15">
        <f>'Mise en tension'!$B$2/(2*B15)</f>
        <v>2.8571428571428572</v>
      </c>
      <c r="D15">
        <v>1.96</v>
      </c>
      <c r="E15">
        <v>203726560</v>
      </c>
    </row>
    <row r="16" spans="1:5" x14ac:dyDescent="0.3">
      <c r="B16">
        <v>0.04</v>
      </c>
      <c r="C16">
        <f>'Mise en tension'!$B$2/(2*B16)</f>
        <v>2.5</v>
      </c>
    </row>
    <row r="17" spans="1:5" x14ac:dyDescent="0.3">
      <c r="B17">
        <v>4.4999999999999998E-2</v>
      </c>
      <c r="C17">
        <f>'Mise en tension'!$B$2/(2*B17)</f>
        <v>2.2222222222222223</v>
      </c>
    </row>
    <row r="21" spans="1:5" x14ac:dyDescent="0.3">
      <c r="A21">
        <v>0</v>
      </c>
      <c r="B21">
        <v>1</v>
      </c>
      <c r="C21">
        <f>'Mise en tension'!$B$2/(2*B21)</f>
        <v>0.1</v>
      </c>
    </row>
    <row r="22" spans="1:5" x14ac:dyDescent="0.3">
      <c r="A22">
        <v>1</v>
      </c>
      <c r="B22">
        <v>4.4999999999999998E-2</v>
      </c>
      <c r="C22">
        <f>'Mise en tension'!$B$2/(2*B22)</f>
        <v>2.2222222222222223</v>
      </c>
      <c r="D22">
        <v>2.52</v>
      </c>
      <c r="E22">
        <v>158692912</v>
      </c>
    </row>
    <row r="23" spans="1:5" x14ac:dyDescent="0.3">
      <c r="A23">
        <v>2</v>
      </c>
      <c r="B23">
        <v>0.04</v>
      </c>
      <c r="C23">
        <f>'Mise en tension'!$B$2/(2*B23)</f>
        <v>2.5</v>
      </c>
      <c r="D23">
        <v>2.35</v>
      </c>
      <c r="E23">
        <v>170603136</v>
      </c>
    </row>
    <row r="24" spans="1:5" x14ac:dyDescent="0.3">
      <c r="A24">
        <v>3</v>
      </c>
      <c r="B24">
        <v>3.5000000000000003E-2</v>
      </c>
      <c r="C24">
        <f>'Mise en tension'!$B$2/(2*B24)</f>
        <v>2.8571428571428572</v>
      </c>
      <c r="D24">
        <v>2.31</v>
      </c>
      <c r="E24">
        <v>173129536</v>
      </c>
    </row>
    <row r="25" spans="1:5" x14ac:dyDescent="0.3">
      <c r="A25">
        <v>4</v>
      </c>
      <c r="B25">
        <v>0.03</v>
      </c>
      <c r="C25">
        <f>'Mise en tension'!$B$2/(2*B25)</f>
        <v>3.3333333333333335</v>
      </c>
      <c r="D25">
        <v>1.96</v>
      </c>
      <c r="E25">
        <v>203726560</v>
      </c>
    </row>
    <row r="26" spans="1:5" x14ac:dyDescent="0.3">
      <c r="A26">
        <v>5</v>
      </c>
      <c r="B26">
        <v>2.5000000000000001E-2</v>
      </c>
      <c r="C26">
        <f>'Mise en tension'!$B$2/(2*B26)</f>
        <v>4</v>
      </c>
      <c r="D26">
        <v>1.99</v>
      </c>
      <c r="E26">
        <v>201222432</v>
      </c>
    </row>
    <row r="27" spans="1:5" x14ac:dyDescent="0.3">
      <c r="A27">
        <v>6</v>
      </c>
      <c r="B27">
        <v>0.02</v>
      </c>
      <c r="C27">
        <f>'Mise en tension'!$B$2/(2*B27)</f>
        <v>5</v>
      </c>
      <c r="D27">
        <v>1.95</v>
      </c>
      <c r="E27">
        <v>205259168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43EA-3DC9-4855-BEED-2A1578264041}">
  <dimension ref="A1:H45"/>
  <sheetViews>
    <sheetView tabSelected="1" topLeftCell="A10" workbookViewId="0">
      <selection activeCell="D38" sqref="D38"/>
    </sheetView>
  </sheetViews>
  <sheetFormatPr baseColWidth="10" defaultRowHeight="14.4" x14ac:dyDescent="0.3"/>
  <cols>
    <col min="1" max="1" width="12.88671875" customWidth="1"/>
    <col min="2" max="2" width="7.77734375" customWidth="1"/>
    <col min="3" max="3" width="15.33203125" customWidth="1"/>
    <col min="4" max="4" width="18.109375" customWidth="1"/>
    <col min="6" max="6" width="18.6640625" customWidth="1"/>
  </cols>
  <sheetData>
    <row r="1" spans="1:8" x14ac:dyDescent="0.3">
      <c r="A1" s="2" t="s">
        <v>18</v>
      </c>
      <c r="B1" s="2"/>
      <c r="C1" s="2"/>
      <c r="D1" s="2"/>
      <c r="E1" s="2"/>
      <c r="F1" s="2"/>
    </row>
    <row r="2" spans="1:8" x14ac:dyDescent="0.3">
      <c r="A2" t="s">
        <v>9</v>
      </c>
      <c r="B2">
        <v>0.2</v>
      </c>
      <c r="C2" t="s">
        <v>8</v>
      </c>
    </row>
    <row r="4" spans="1:8" x14ac:dyDescent="0.3">
      <c r="A4" t="s">
        <v>4</v>
      </c>
      <c r="B4" t="s">
        <v>12</v>
      </c>
    </row>
    <row r="5" spans="1:8" x14ac:dyDescent="0.3">
      <c r="A5" t="s">
        <v>6</v>
      </c>
      <c r="B5" t="s">
        <v>7</v>
      </c>
      <c r="C5" t="s">
        <v>10</v>
      </c>
      <c r="D5" t="s">
        <v>11</v>
      </c>
      <c r="E5" t="s">
        <v>1</v>
      </c>
      <c r="F5" t="s">
        <v>5</v>
      </c>
    </row>
    <row r="6" spans="1:8" x14ac:dyDescent="0.3">
      <c r="A6">
        <v>0</v>
      </c>
      <c r="C6">
        <v>0</v>
      </c>
      <c r="D6">
        <v>0</v>
      </c>
      <c r="E6">
        <v>4.99</v>
      </c>
      <c r="F6">
        <v>80146904</v>
      </c>
    </row>
    <row r="7" spans="1:8" x14ac:dyDescent="0.3">
      <c r="A7">
        <v>1</v>
      </c>
      <c r="B7">
        <v>10</v>
      </c>
      <c r="C7">
        <f>1/$B7</f>
        <v>0.1</v>
      </c>
      <c r="D7">
        <f>$B$2/(2*$B7)</f>
        <v>0.01</v>
      </c>
      <c r="E7">
        <v>2.52</v>
      </c>
      <c r="F7">
        <v>158692912</v>
      </c>
    </row>
    <row r="8" spans="1:8" x14ac:dyDescent="0.3">
      <c r="A8">
        <v>2</v>
      </c>
      <c r="B8">
        <v>12.5</v>
      </c>
      <c r="C8">
        <f t="shared" ref="C8:C12" si="0">1/$B8</f>
        <v>0.08</v>
      </c>
      <c r="D8">
        <f t="shared" ref="D8:D12" si="1">$B$2/(2*$B8)</f>
        <v>8.0000000000000002E-3</v>
      </c>
      <c r="E8">
        <v>2.35</v>
      </c>
      <c r="F8">
        <v>170603136</v>
      </c>
    </row>
    <row r="9" spans="1:8" x14ac:dyDescent="0.3">
      <c r="A9">
        <v>3</v>
      </c>
      <c r="B9">
        <v>15</v>
      </c>
      <c r="C9">
        <f t="shared" si="0"/>
        <v>6.6666666666666666E-2</v>
      </c>
      <c r="D9">
        <f t="shared" si="1"/>
        <v>6.6666666666666671E-3</v>
      </c>
      <c r="E9">
        <v>2.31</v>
      </c>
      <c r="F9">
        <v>173129536</v>
      </c>
    </row>
    <row r="10" spans="1:8" x14ac:dyDescent="0.3">
      <c r="A10">
        <v>4</v>
      </c>
      <c r="B10">
        <v>17.5</v>
      </c>
      <c r="C10">
        <f t="shared" si="0"/>
        <v>5.7142857142857141E-2</v>
      </c>
      <c r="D10">
        <f t="shared" si="1"/>
        <v>5.7142857142857143E-3</v>
      </c>
      <c r="E10">
        <v>1.96</v>
      </c>
      <c r="F10">
        <v>203726560</v>
      </c>
    </row>
    <row r="11" spans="1:8" x14ac:dyDescent="0.3">
      <c r="A11">
        <v>5</v>
      </c>
      <c r="B11">
        <v>20</v>
      </c>
      <c r="C11">
        <f t="shared" si="0"/>
        <v>0.05</v>
      </c>
      <c r="D11">
        <f t="shared" si="1"/>
        <v>5.0000000000000001E-3</v>
      </c>
      <c r="E11">
        <v>1.99</v>
      </c>
      <c r="F11">
        <v>201222432</v>
      </c>
    </row>
    <row r="12" spans="1:8" x14ac:dyDescent="0.3">
      <c r="A12">
        <v>6</v>
      </c>
      <c r="B12">
        <v>22.5</v>
      </c>
      <c r="C12">
        <f t="shared" si="0"/>
        <v>4.4444444444444446E-2</v>
      </c>
      <c r="D12">
        <f t="shared" si="1"/>
        <v>4.4444444444444444E-3</v>
      </c>
      <c r="E12">
        <v>1.95</v>
      </c>
      <c r="F12">
        <v>205259168</v>
      </c>
    </row>
    <row r="15" spans="1:8" x14ac:dyDescent="0.3">
      <c r="A15" s="1" t="s">
        <v>13</v>
      </c>
      <c r="B15" t="s">
        <v>14</v>
      </c>
    </row>
    <row r="16" spans="1:8" x14ac:dyDescent="0.3">
      <c r="A16" t="s">
        <v>6</v>
      </c>
      <c r="B16" t="s">
        <v>7</v>
      </c>
      <c r="C16" t="s">
        <v>10</v>
      </c>
      <c r="D16" t="s">
        <v>11</v>
      </c>
      <c r="E16" t="s">
        <v>1</v>
      </c>
      <c r="F16" t="s">
        <v>5</v>
      </c>
      <c r="H16" s="4" t="s">
        <v>20</v>
      </c>
    </row>
    <row r="17" spans="1:8" x14ac:dyDescent="0.3">
      <c r="A17">
        <v>0</v>
      </c>
      <c r="C17">
        <v>0</v>
      </c>
      <c r="D17">
        <v>0</v>
      </c>
      <c r="E17">
        <v>3.89</v>
      </c>
      <c r="F17">
        <v>39012388</v>
      </c>
      <c r="H17">
        <f>(F17-$F$17)/$F$17</f>
        <v>0</v>
      </c>
    </row>
    <row r="18" spans="1:8" x14ac:dyDescent="0.3">
      <c r="A18">
        <v>1</v>
      </c>
      <c r="B18">
        <v>10</v>
      </c>
      <c r="C18">
        <f>1/$B18</f>
        <v>0.1</v>
      </c>
      <c r="D18">
        <f>$B$2/(2*$B18)</f>
        <v>0.01</v>
      </c>
      <c r="E18">
        <v>3.56</v>
      </c>
      <c r="F18">
        <v>42612940</v>
      </c>
      <c r="H18">
        <f t="shared" ref="H18:H23" si="2">(F18-$F$17)/$F$17</f>
        <v>9.2292530259875397E-2</v>
      </c>
    </row>
    <row r="19" spans="1:8" x14ac:dyDescent="0.3">
      <c r="A19">
        <v>2</v>
      </c>
      <c r="B19">
        <v>12.5</v>
      </c>
      <c r="C19">
        <f t="shared" ref="C19:C23" si="3">1/$B19</f>
        <v>0.08</v>
      </c>
      <c r="D19">
        <f t="shared" ref="D19:D23" si="4">$B$2/(2*$B19)</f>
        <v>8.0000000000000002E-3</v>
      </c>
      <c r="E19">
        <v>3.05</v>
      </c>
      <c r="F19">
        <v>49733432</v>
      </c>
      <c r="H19">
        <f t="shared" si="2"/>
        <v>0.27481127276802436</v>
      </c>
    </row>
    <row r="20" spans="1:8" x14ac:dyDescent="0.3">
      <c r="A20">
        <v>3</v>
      </c>
      <c r="B20">
        <v>15</v>
      </c>
      <c r="C20">
        <f t="shared" si="3"/>
        <v>6.6666666666666666E-2</v>
      </c>
      <c r="D20">
        <f t="shared" si="4"/>
        <v>6.6666666666666671E-3</v>
      </c>
      <c r="E20">
        <v>2.93</v>
      </c>
      <c r="F20">
        <v>51813704</v>
      </c>
      <c r="H20">
        <f t="shared" si="2"/>
        <v>0.32813464277039384</v>
      </c>
    </row>
    <row r="21" spans="1:8" x14ac:dyDescent="0.3">
      <c r="A21">
        <v>4</v>
      </c>
      <c r="B21">
        <v>17.5</v>
      </c>
      <c r="C21">
        <f t="shared" si="3"/>
        <v>5.7142857142857141E-2</v>
      </c>
      <c r="D21">
        <f t="shared" si="4"/>
        <v>5.7142857142857143E-3</v>
      </c>
      <c r="E21">
        <v>2.64</v>
      </c>
      <c r="F21">
        <v>57380384</v>
      </c>
      <c r="H21">
        <f t="shared" si="2"/>
        <v>0.47082470316864478</v>
      </c>
    </row>
    <row r="22" spans="1:8" x14ac:dyDescent="0.3">
      <c r="A22">
        <v>5</v>
      </c>
      <c r="B22">
        <v>20</v>
      </c>
      <c r="C22">
        <f t="shared" si="3"/>
        <v>0.05</v>
      </c>
      <c r="D22">
        <f t="shared" si="4"/>
        <v>5.0000000000000001E-3</v>
      </c>
      <c r="E22">
        <v>2.5</v>
      </c>
      <c r="F22">
        <v>60636680</v>
      </c>
      <c r="H22">
        <f t="shared" si="2"/>
        <v>0.55429295945687818</v>
      </c>
    </row>
    <row r="23" spans="1:8" x14ac:dyDescent="0.3">
      <c r="A23">
        <v>6</v>
      </c>
      <c r="B23">
        <v>22.5</v>
      </c>
      <c r="C23">
        <f t="shared" si="3"/>
        <v>4.4444444444444446E-2</v>
      </c>
      <c r="D23">
        <f t="shared" si="4"/>
        <v>4.4444444444444444E-3</v>
      </c>
      <c r="E23">
        <v>2.5099999999999998</v>
      </c>
      <c r="F23">
        <v>60400312</v>
      </c>
      <c r="H23">
        <f t="shared" si="2"/>
        <v>0.54823416602951858</v>
      </c>
    </row>
    <row r="26" spans="1:8" x14ac:dyDescent="0.3">
      <c r="A26" s="5" t="s">
        <v>13</v>
      </c>
      <c r="B26" s="6" t="s">
        <v>21</v>
      </c>
      <c r="C26" s="6"/>
      <c r="D26" s="6"/>
      <c r="E26" s="6"/>
      <c r="F26" s="6"/>
      <c r="G26" s="6"/>
      <c r="H26" s="7"/>
    </row>
    <row r="27" spans="1:8" x14ac:dyDescent="0.3">
      <c r="A27" s="8" t="s">
        <v>6</v>
      </c>
      <c r="B27" s="9" t="s">
        <v>7</v>
      </c>
      <c r="C27" s="9" t="s">
        <v>10</v>
      </c>
      <c r="D27" s="9" t="s">
        <v>11</v>
      </c>
      <c r="E27" s="9" t="s">
        <v>1</v>
      </c>
      <c r="F27" s="9" t="s">
        <v>5</v>
      </c>
      <c r="G27" s="9"/>
      <c r="H27" s="10" t="s">
        <v>20</v>
      </c>
    </row>
    <row r="28" spans="1:8" x14ac:dyDescent="0.3">
      <c r="A28" s="8">
        <v>0</v>
      </c>
      <c r="B28" s="9"/>
      <c r="C28" s="9">
        <v>0</v>
      </c>
      <c r="D28" s="9">
        <v>0</v>
      </c>
      <c r="E28" s="9">
        <v>3.21</v>
      </c>
      <c r="F28" s="9">
        <v>16470577</v>
      </c>
      <c r="G28" s="9"/>
      <c r="H28" s="11">
        <f>(F28-$F$28)/$F$28</f>
        <v>0</v>
      </c>
    </row>
    <row r="29" spans="1:8" x14ac:dyDescent="0.3">
      <c r="A29" s="8">
        <v>1</v>
      </c>
      <c r="B29" s="9">
        <v>10</v>
      </c>
      <c r="C29" s="9">
        <f>1/$B29</f>
        <v>0.1</v>
      </c>
      <c r="D29" s="9">
        <f>$B$2/(2*$B29)</f>
        <v>0.01</v>
      </c>
      <c r="E29" s="9">
        <v>1.96</v>
      </c>
      <c r="F29" s="9">
        <v>26988106</v>
      </c>
      <c r="G29" s="9"/>
      <c r="H29" s="11">
        <f>(F29-$F$28)/$F$28</f>
        <v>0.63856469630663215</v>
      </c>
    </row>
    <row r="30" spans="1:8" x14ac:dyDescent="0.3">
      <c r="A30" s="8">
        <v>2</v>
      </c>
      <c r="B30" s="9">
        <v>12.5</v>
      </c>
      <c r="C30" s="9">
        <f t="shared" ref="C30:C34" si="5">1/$B30</f>
        <v>0.08</v>
      </c>
      <c r="D30" s="9">
        <f t="shared" ref="D30:D34" si="6">$B$2/(2*$B30)</f>
        <v>8.0000000000000002E-3</v>
      </c>
      <c r="E30" s="9">
        <v>2.46</v>
      </c>
      <c r="F30" s="9">
        <v>21503966</v>
      </c>
      <c r="G30" s="9"/>
      <c r="H30" s="11">
        <f>(F30-$F$28)/$F$28</f>
        <v>0.30559882631919938</v>
      </c>
    </row>
    <row r="31" spans="1:8" x14ac:dyDescent="0.3">
      <c r="A31" s="8">
        <v>3</v>
      </c>
      <c r="B31" s="9">
        <v>15</v>
      </c>
      <c r="C31" s="9">
        <f t="shared" si="5"/>
        <v>6.6666666666666666E-2</v>
      </c>
      <c r="D31" s="9">
        <f t="shared" si="6"/>
        <v>6.6666666666666671E-3</v>
      </c>
      <c r="E31" s="9">
        <v>2.56</v>
      </c>
      <c r="F31" s="9">
        <v>20718756</v>
      </c>
      <c r="G31" s="9"/>
      <c r="H31" s="11">
        <f>(F31-$F$28)/$F$28</f>
        <v>0.25792532951334979</v>
      </c>
    </row>
    <row r="32" spans="1:8" x14ac:dyDescent="0.3">
      <c r="A32" s="8">
        <v>4</v>
      </c>
      <c r="B32" s="9">
        <v>17.5</v>
      </c>
      <c r="C32" s="9">
        <f t="shared" si="5"/>
        <v>5.7142857142857141E-2</v>
      </c>
      <c r="D32" s="9">
        <f t="shared" si="6"/>
        <v>5.7142857142857143E-3</v>
      </c>
      <c r="E32" s="9">
        <v>2.83</v>
      </c>
      <c r="F32" s="9">
        <v>18704230</v>
      </c>
      <c r="G32" s="9"/>
      <c r="H32" s="11">
        <f>(F32-$F$28)/$F$28</f>
        <v>0.13561473893719692</v>
      </c>
    </row>
    <row r="33" spans="1:8" x14ac:dyDescent="0.3">
      <c r="A33" s="8">
        <v>5</v>
      </c>
      <c r="B33" s="9">
        <v>20</v>
      </c>
      <c r="C33" s="9">
        <f t="shared" si="5"/>
        <v>0.05</v>
      </c>
      <c r="D33" s="9">
        <f t="shared" si="6"/>
        <v>5.0000000000000001E-3</v>
      </c>
      <c r="E33" s="9">
        <v>2.9</v>
      </c>
      <c r="F33" s="9">
        <v>18229122</v>
      </c>
      <c r="G33" s="9"/>
      <c r="H33" s="11">
        <f>(F33-$F$28)/$F$28</f>
        <v>0.10676887640305498</v>
      </c>
    </row>
    <row r="34" spans="1:8" x14ac:dyDescent="0.3">
      <c r="A34" s="12">
        <v>6</v>
      </c>
      <c r="B34" s="13">
        <v>22.5</v>
      </c>
      <c r="C34" s="13">
        <f t="shared" si="5"/>
        <v>4.4444444444444446E-2</v>
      </c>
      <c r="D34" s="13">
        <f t="shared" si="6"/>
        <v>4.4444444444444444E-3</v>
      </c>
      <c r="E34" s="13">
        <v>2.98</v>
      </c>
      <c r="F34" s="13">
        <v>17777420</v>
      </c>
      <c r="G34" s="13"/>
      <c r="H34" s="14">
        <f>(F34-$F$28)/$F$28</f>
        <v>7.9344093409720859E-2</v>
      </c>
    </row>
    <row r="37" spans="1:8" x14ac:dyDescent="0.3">
      <c r="A37" t="s">
        <v>15</v>
      </c>
      <c r="B37" t="s">
        <v>16</v>
      </c>
    </row>
    <row r="38" spans="1:8" x14ac:dyDescent="0.3">
      <c r="A38" t="s">
        <v>6</v>
      </c>
      <c r="B38" t="s">
        <v>7</v>
      </c>
      <c r="C38" t="s">
        <v>10</v>
      </c>
      <c r="D38" t="s">
        <v>11</v>
      </c>
      <c r="E38" t="s">
        <v>1</v>
      </c>
      <c r="F38" t="s">
        <v>5</v>
      </c>
    </row>
    <row r="39" spans="1:8" x14ac:dyDescent="0.3">
      <c r="A39">
        <v>0</v>
      </c>
      <c r="C39">
        <v>0</v>
      </c>
      <c r="D39">
        <v>0</v>
      </c>
    </row>
    <row r="40" spans="1:8" x14ac:dyDescent="0.3">
      <c r="A40">
        <v>1</v>
      </c>
      <c r="B40">
        <v>10</v>
      </c>
      <c r="C40">
        <f>1/$B40</f>
        <v>0.1</v>
      </c>
      <c r="D40">
        <f>$B$2/(2*$B40)</f>
        <v>0.01</v>
      </c>
    </row>
    <row r="41" spans="1:8" x14ac:dyDescent="0.3">
      <c r="A41">
        <v>2</v>
      </c>
      <c r="B41">
        <v>12.5</v>
      </c>
      <c r="C41">
        <f t="shared" ref="C41:C45" si="7">1/$B41</f>
        <v>0.08</v>
      </c>
      <c r="D41">
        <f t="shared" ref="D41:D45" si="8">$B$2/(2*$B41)</f>
        <v>8.0000000000000002E-3</v>
      </c>
    </row>
    <row r="42" spans="1:8" x14ac:dyDescent="0.3">
      <c r="A42">
        <v>3</v>
      </c>
      <c r="B42">
        <v>15</v>
      </c>
      <c r="C42">
        <f t="shared" si="7"/>
        <v>6.6666666666666666E-2</v>
      </c>
      <c r="D42">
        <f t="shared" si="8"/>
        <v>6.6666666666666671E-3</v>
      </c>
    </row>
    <row r="43" spans="1:8" x14ac:dyDescent="0.3">
      <c r="A43">
        <v>4</v>
      </c>
      <c r="B43">
        <v>17.5</v>
      </c>
      <c r="C43">
        <f t="shared" si="7"/>
        <v>5.7142857142857141E-2</v>
      </c>
      <c r="D43">
        <f t="shared" si="8"/>
        <v>5.7142857142857143E-3</v>
      </c>
    </row>
    <row r="44" spans="1:8" x14ac:dyDescent="0.3">
      <c r="A44">
        <v>5</v>
      </c>
      <c r="B44">
        <v>20</v>
      </c>
      <c r="C44">
        <f t="shared" si="7"/>
        <v>0.05</v>
      </c>
      <c r="D44">
        <f t="shared" si="8"/>
        <v>5.0000000000000001E-3</v>
      </c>
    </row>
    <row r="45" spans="1:8" x14ac:dyDescent="0.3">
      <c r="A45">
        <v>6</v>
      </c>
      <c r="B45">
        <v>22.5</v>
      </c>
      <c r="C45">
        <f t="shared" si="7"/>
        <v>4.4444444444444446E-2</v>
      </c>
      <c r="D45">
        <f t="shared" si="8"/>
        <v>4.4444444444444444E-3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7566-2D0F-4854-8779-E2AD22D057CD}">
  <dimension ref="A1:H45"/>
  <sheetViews>
    <sheetView topLeftCell="A13" workbookViewId="0">
      <selection activeCell="E28" sqref="E28:F28"/>
    </sheetView>
  </sheetViews>
  <sheetFormatPr baseColWidth="10" defaultRowHeight="14.4" x14ac:dyDescent="0.3"/>
  <cols>
    <col min="1" max="1" width="15.33203125" customWidth="1"/>
    <col min="2" max="2" width="13.88671875" customWidth="1"/>
    <col min="3" max="3" width="15.77734375" customWidth="1"/>
    <col min="4" max="4" width="18.109375" customWidth="1"/>
    <col min="6" max="6" width="18.6640625" customWidth="1"/>
  </cols>
  <sheetData>
    <row r="1" spans="1:8" x14ac:dyDescent="0.3">
      <c r="A1" s="3" t="s">
        <v>17</v>
      </c>
      <c r="B1" s="3"/>
      <c r="C1" s="3"/>
      <c r="D1" s="3"/>
      <c r="E1" s="3"/>
      <c r="F1" s="3"/>
    </row>
    <row r="2" spans="1:8" x14ac:dyDescent="0.3">
      <c r="A2" t="s">
        <v>9</v>
      </c>
      <c r="B2">
        <v>0.19</v>
      </c>
      <c r="C2" t="s">
        <v>8</v>
      </c>
    </row>
    <row r="4" spans="1:8" x14ac:dyDescent="0.3">
      <c r="A4" t="s">
        <v>4</v>
      </c>
      <c r="B4" t="s">
        <v>12</v>
      </c>
    </row>
    <row r="5" spans="1:8" x14ac:dyDescent="0.3">
      <c r="A5" t="s">
        <v>6</v>
      </c>
      <c r="B5" t="s">
        <v>7</v>
      </c>
      <c r="C5" t="s">
        <v>10</v>
      </c>
      <c r="D5" t="s">
        <v>11</v>
      </c>
      <c r="E5" t="s">
        <v>1</v>
      </c>
      <c r="F5" t="s">
        <v>5</v>
      </c>
    </row>
    <row r="6" spans="1:8" x14ac:dyDescent="0.3">
      <c r="A6">
        <v>0</v>
      </c>
      <c r="C6">
        <v>0</v>
      </c>
      <c r="D6">
        <v>0</v>
      </c>
    </row>
    <row r="7" spans="1:8" x14ac:dyDescent="0.3">
      <c r="A7">
        <v>1</v>
      </c>
      <c r="B7">
        <v>10</v>
      </c>
      <c r="C7">
        <f>1/$B7</f>
        <v>0.1</v>
      </c>
      <c r="D7">
        <f>$B$2/(2*$B7)</f>
        <v>9.4999999999999998E-3</v>
      </c>
    </row>
    <row r="8" spans="1:8" x14ac:dyDescent="0.3">
      <c r="A8">
        <v>2</v>
      </c>
      <c r="B8">
        <v>12.5</v>
      </c>
      <c r="C8">
        <f t="shared" ref="C8:C12" si="0">1/$B8</f>
        <v>0.08</v>
      </c>
      <c r="D8">
        <f t="shared" ref="D8:D12" si="1">$B$2/(2*$B8)</f>
        <v>7.6E-3</v>
      </c>
    </row>
    <row r="9" spans="1:8" x14ac:dyDescent="0.3">
      <c r="A9">
        <v>3</v>
      </c>
      <c r="B9">
        <v>15</v>
      </c>
      <c r="C9">
        <f t="shared" si="0"/>
        <v>6.6666666666666666E-2</v>
      </c>
      <c r="D9">
        <f t="shared" si="1"/>
        <v>6.3333333333333332E-3</v>
      </c>
    </row>
    <row r="10" spans="1:8" x14ac:dyDescent="0.3">
      <c r="A10">
        <v>4</v>
      </c>
      <c r="B10">
        <v>17.5</v>
      </c>
      <c r="C10">
        <f t="shared" si="0"/>
        <v>5.7142857142857141E-2</v>
      </c>
      <c r="D10">
        <f t="shared" si="1"/>
        <v>5.4285714285714284E-3</v>
      </c>
    </row>
    <row r="11" spans="1:8" x14ac:dyDescent="0.3">
      <c r="A11">
        <v>5</v>
      </c>
      <c r="B11">
        <v>20</v>
      </c>
      <c r="C11">
        <f t="shared" si="0"/>
        <v>0.05</v>
      </c>
      <c r="D11">
        <f t="shared" si="1"/>
        <v>4.7499999999999999E-3</v>
      </c>
    </row>
    <row r="12" spans="1:8" x14ac:dyDescent="0.3">
      <c r="A12">
        <v>6</v>
      </c>
      <c r="B12">
        <v>22.5</v>
      </c>
      <c r="C12">
        <f t="shared" si="0"/>
        <v>4.4444444444444446E-2</v>
      </c>
      <c r="D12">
        <f t="shared" si="1"/>
        <v>4.2222222222222227E-3</v>
      </c>
    </row>
    <row r="15" spans="1:8" x14ac:dyDescent="0.3">
      <c r="A15" s="1" t="s">
        <v>13</v>
      </c>
      <c r="B15" t="s">
        <v>19</v>
      </c>
    </row>
    <row r="16" spans="1:8" x14ac:dyDescent="0.3">
      <c r="A16" t="s">
        <v>6</v>
      </c>
      <c r="B16" t="s">
        <v>7</v>
      </c>
      <c r="C16" t="s">
        <v>10</v>
      </c>
      <c r="D16" t="s">
        <v>11</v>
      </c>
      <c r="E16" t="s">
        <v>1</v>
      </c>
      <c r="F16" t="s">
        <v>5</v>
      </c>
      <c r="H16" s="4" t="s">
        <v>20</v>
      </c>
    </row>
    <row r="17" spans="1:8" x14ac:dyDescent="0.3">
      <c r="A17">
        <v>0</v>
      </c>
      <c r="C17">
        <v>0</v>
      </c>
      <c r="D17">
        <v>0</v>
      </c>
      <c r="E17">
        <v>0.21</v>
      </c>
      <c r="F17">
        <v>29461570</v>
      </c>
      <c r="H17">
        <f>(F17-$F$17)/$F$17</f>
        <v>0</v>
      </c>
    </row>
    <row r="18" spans="1:8" x14ac:dyDescent="0.3">
      <c r="A18">
        <v>1</v>
      </c>
      <c r="B18">
        <v>10</v>
      </c>
      <c r="C18">
        <f>1/$B18</f>
        <v>0.1</v>
      </c>
      <c r="D18">
        <f>$B$2/(2*$B18)</f>
        <v>9.4999999999999998E-3</v>
      </c>
      <c r="E18">
        <v>0.33</v>
      </c>
      <c r="F18">
        <v>18154792</v>
      </c>
      <c r="H18">
        <f t="shared" ref="H18:H23" si="2">(F18-$F$17)/$F$17</f>
        <v>-0.383780565665713</v>
      </c>
    </row>
    <row r="19" spans="1:8" x14ac:dyDescent="0.3">
      <c r="A19">
        <v>2</v>
      </c>
      <c r="B19">
        <v>12.5</v>
      </c>
      <c r="C19">
        <f t="shared" ref="C19:C23" si="3">1/$B19</f>
        <v>0.08</v>
      </c>
      <c r="D19">
        <f t="shared" ref="D19:D23" si="4">$B$2/(2*$B19)</f>
        <v>7.6E-3</v>
      </c>
      <c r="E19">
        <v>0.36</v>
      </c>
      <c r="F19">
        <v>16903780</v>
      </c>
      <c r="H19">
        <f t="shared" si="2"/>
        <v>-0.42624306851264204</v>
      </c>
    </row>
    <row r="20" spans="1:8" x14ac:dyDescent="0.3">
      <c r="A20">
        <v>3</v>
      </c>
      <c r="B20">
        <v>15</v>
      </c>
      <c r="C20">
        <f t="shared" si="3"/>
        <v>6.6666666666666666E-2</v>
      </c>
      <c r="D20">
        <f t="shared" si="4"/>
        <v>6.3333333333333332E-3</v>
      </c>
      <c r="E20">
        <v>0.43</v>
      </c>
      <c r="F20">
        <v>14003703</v>
      </c>
      <c r="H20">
        <f t="shared" si="2"/>
        <v>-0.52467899707992482</v>
      </c>
    </row>
    <row r="21" spans="1:8" x14ac:dyDescent="0.3">
      <c r="A21">
        <v>4</v>
      </c>
      <c r="B21">
        <v>17.5</v>
      </c>
      <c r="C21">
        <f t="shared" si="3"/>
        <v>5.7142857142857141E-2</v>
      </c>
      <c r="D21">
        <f t="shared" si="4"/>
        <v>5.4285714285714284E-3</v>
      </c>
      <c r="E21">
        <v>0.49</v>
      </c>
      <c r="F21">
        <v>12187088</v>
      </c>
      <c r="H21">
        <f t="shared" si="2"/>
        <v>-0.58633949243030836</v>
      </c>
    </row>
    <row r="22" spans="1:8" x14ac:dyDescent="0.3">
      <c r="A22">
        <v>5</v>
      </c>
      <c r="B22">
        <v>20</v>
      </c>
      <c r="C22">
        <f t="shared" si="3"/>
        <v>0.05</v>
      </c>
      <c r="D22">
        <f t="shared" si="4"/>
        <v>4.7499999999999999E-3</v>
      </c>
      <c r="E22">
        <v>0.53</v>
      </c>
      <c r="F22">
        <v>11390055</v>
      </c>
      <c r="H22">
        <f t="shared" si="2"/>
        <v>-0.61339280289543296</v>
      </c>
    </row>
    <row r="23" spans="1:8" x14ac:dyDescent="0.3">
      <c r="A23">
        <v>6</v>
      </c>
      <c r="B23">
        <v>22.5</v>
      </c>
      <c r="C23">
        <f t="shared" si="3"/>
        <v>4.4444444444444446E-2</v>
      </c>
      <c r="D23">
        <f t="shared" si="4"/>
        <v>4.2222222222222227E-3</v>
      </c>
      <c r="E23">
        <v>0.37</v>
      </c>
      <c r="F23">
        <v>16232183</v>
      </c>
      <c r="H23">
        <f t="shared" si="2"/>
        <v>-0.44903876473657039</v>
      </c>
    </row>
    <row r="26" spans="1:8" x14ac:dyDescent="0.3">
      <c r="A26" s="1" t="s">
        <v>13</v>
      </c>
      <c r="B26" t="s">
        <v>21</v>
      </c>
    </row>
    <row r="27" spans="1:8" x14ac:dyDescent="0.3">
      <c r="A27" t="s">
        <v>6</v>
      </c>
      <c r="B27" t="s">
        <v>7</v>
      </c>
      <c r="C27" t="s">
        <v>10</v>
      </c>
      <c r="D27" t="s">
        <v>11</v>
      </c>
      <c r="E27" t="s">
        <v>1</v>
      </c>
      <c r="F27" t="s">
        <v>5</v>
      </c>
      <c r="H27" s="4" t="s">
        <v>20</v>
      </c>
    </row>
    <row r="28" spans="1:8" x14ac:dyDescent="0.3">
      <c r="A28">
        <v>0</v>
      </c>
      <c r="C28">
        <v>0</v>
      </c>
      <c r="D28">
        <v>0</v>
      </c>
      <c r="E28">
        <v>0.85</v>
      </c>
      <c r="F28">
        <v>62495968</v>
      </c>
      <c r="H28">
        <f>(F28-$F$28)/$F$28</f>
        <v>0</v>
      </c>
    </row>
    <row r="29" spans="1:8" x14ac:dyDescent="0.3">
      <c r="A29">
        <v>1</v>
      </c>
      <c r="B29">
        <v>10</v>
      </c>
      <c r="C29">
        <f>1/$B29</f>
        <v>0.1</v>
      </c>
      <c r="D29">
        <f>$B$2/(2*$B29)</f>
        <v>9.4999999999999998E-3</v>
      </c>
      <c r="E29">
        <v>2.09</v>
      </c>
      <c r="F29">
        <v>25401568</v>
      </c>
      <c r="H29">
        <f t="shared" ref="H29:H34" si="5">(F29-$F$28)/$F$28</f>
        <v>-0.59354869101315466</v>
      </c>
    </row>
    <row r="30" spans="1:8" x14ac:dyDescent="0.3">
      <c r="A30">
        <v>2</v>
      </c>
      <c r="B30">
        <v>12.5</v>
      </c>
      <c r="C30">
        <f t="shared" ref="C30:C34" si="6">1/$B30</f>
        <v>0.08</v>
      </c>
      <c r="D30">
        <f t="shared" ref="D30:D34" si="7">$B$2/(2*$B30)</f>
        <v>7.6E-3</v>
      </c>
      <c r="E30">
        <v>2</v>
      </c>
      <c r="F30">
        <v>26524326</v>
      </c>
      <c r="H30">
        <f t="shared" si="5"/>
        <v>-0.57558340403656116</v>
      </c>
    </row>
    <row r="31" spans="1:8" x14ac:dyDescent="0.3">
      <c r="A31">
        <v>3</v>
      </c>
      <c r="B31">
        <v>15</v>
      </c>
      <c r="C31">
        <f t="shared" si="6"/>
        <v>6.6666666666666666E-2</v>
      </c>
      <c r="D31">
        <f t="shared" si="7"/>
        <v>6.3333333333333332E-3</v>
      </c>
      <c r="E31">
        <v>1.88</v>
      </c>
      <c r="F31">
        <v>28258330</v>
      </c>
      <c r="H31">
        <f t="shared" si="5"/>
        <v>-0.54783755009603174</v>
      </c>
    </row>
    <row r="32" spans="1:8" x14ac:dyDescent="0.3">
      <c r="A32">
        <v>4</v>
      </c>
      <c r="B32">
        <v>17.5</v>
      </c>
      <c r="C32">
        <f t="shared" si="6"/>
        <v>5.7142857142857141E-2</v>
      </c>
      <c r="D32">
        <f t="shared" si="7"/>
        <v>5.4285714285714284E-3</v>
      </c>
      <c r="E32">
        <v>1.7</v>
      </c>
      <c r="F32">
        <v>31283196</v>
      </c>
      <c r="H32">
        <f t="shared" si="5"/>
        <v>-0.49943657165211042</v>
      </c>
    </row>
    <row r="33" spans="1:8" x14ac:dyDescent="0.3">
      <c r="A33">
        <v>5</v>
      </c>
      <c r="B33">
        <v>20</v>
      </c>
      <c r="C33">
        <f t="shared" si="6"/>
        <v>0.05</v>
      </c>
      <c r="D33">
        <f t="shared" si="7"/>
        <v>4.7499999999999999E-3</v>
      </c>
      <c r="E33">
        <v>1.54</v>
      </c>
      <c r="F33">
        <v>34362908</v>
      </c>
      <c r="H33">
        <f t="shared" si="5"/>
        <v>-0.45015800059293426</v>
      </c>
    </row>
    <row r="34" spans="1:8" x14ac:dyDescent="0.3">
      <c r="A34">
        <v>6</v>
      </c>
      <c r="B34">
        <v>22.5</v>
      </c>
      <c r="C34">
        <f t="shared" si="6"/>
        <v>4.4444444444444446E-2</v>
      </c>
      <c r="D34">
        <f t="shared" si="7"/>
        <v>4.2222222222222227E-3</v>
      </c>
      <c r="E34">
        <v>1.48</v>
      </c>
      <c r="F34">
        <v>35960988</v>
      </c>
      <c r="H34">
        <f t="shared" si="5"/>
        <v>-0.42458707096112186</v>
      </c>
    </row>
    <row r="37" spans="1:8" x14ac:dyDescent="0.3">
      <c r="A37" t="s">
        <v>15</v>
      </c>
      <c r="B37" t="s">
        <v>16</v>
      </c>
    </row>
    <row r="38" spans="1:8" x14ac:dyDescent="0.3">
      <c r="A38" t="s">
        <v>6</v>
      </c>
      <c r="B38" t="s">
        <v>7</v>
      </c>
      <c r="C38" t="s">
        <v>10</v>
      </c>
      <c r="D38" t="s">
        <v>11</v>
      </c>
      <c r="E38" t="s">
        <v>1</v>
      </c>
      <c r="F38" t="s">
        <v>5</v>
      </c>
    </row>
    <row r="39" spans="1:8" x14ac:dyDescent="0.3">
      <c r="A39">
        <v>0</v>
      </c>
      <c r="C39">
        <v>0</v>
      </c>
      <c r="D39">
        <v>0</v>
      </c>
    </row>
    <row r="40" spans="1:8" x14ac:dyDescent="0.3">
      <c r="A40">
        <v>1</v>
      </c>
      <c r="B40">
        <v>10</v>
      </c>
      <c r="C40">
        <f>1/$B40</f>
        <v>0.1</v>
      </c>
      <c r="D40">
        <f>$B$2/(2*$B40)</f>
        <v>9.4999999999999998E-3</v>
      </c>
    </row>
    <row r="41" spans="1:8" x14ac:dyDescent="0.3">
      <c r="A41">
        <v>2</v>
      </c>
      <c r="B41">
        <v>12.5</v>
      </c>
      <c r="C41">
        <f t="shared" ref="C41:C45" si="8">1/$B41</f>
        <v>0.08</v>
      </c>
      <c r="D41">
        <f t="shared" ref="D41:D45" si="9">$B$2/(2*$B41)</f>
        <v>7.6E-3</v>
      </c>
    </row>
    <row r="42" spans="1:8" x14ac:dyDescent="0.3">
      <c r="A42">
        <v>3</v>
      </c>
      <c r="B42">
        <v>15</v>
      </c>
      <c r="C42">
        <f t="shared" si="8"/>
        <v>6.6666666666666666E-2</v>
      </c>
      <c r="D42">
        <f t="shared" si="9"/>
        <v>6.3333333333333332E-3</v>
      </c>
    </row>
    <row r="43" spans="1:8" x14ac:dyDescent="0.3">
      <c r="A43">
        <v>4</v>
      </c>
      <c r="B43">
        <v>17.5</v>
      </c>
      <c r="C43">
        <f t="shared" si="8"/>
        <v>5.7142857142857141E-2</v>
      </c>
      <c r="D43">
        <f t="shared" si="9"/>
        <v>5.4285714285714284E-3</v>
      </c>
    </row>
    <row r="44" spans="1:8" x14ac:dyDescent="0.3">
      <c r="A44">
        <v>5</v>
      </c>
      <c r="B44">
        <v>20</v>
      </c>
      <c r="C44">
        <f t="shared" si="8"/>
        <v>0.05</v>
      </c>
      <c r="D44">
        <f t="shared" si="9"/>
        <v>4.7499999999999999E-3</v>
      </c>
    </row>
    <row r="45" spans="1:8" x14ac:dyDescent="0.3">
      <c r="A45">
        <v>6</v>
      </c>
      <c r="B45">
        <v>22.5</v>
      </c>
      <c r="C45">
        <f t="shared" si="8"/>
        <v>4.4444444444444446E-2</v>
      </c>
      <c r="D45">
        <f t="shared" si="9"/>
        <v>4.2222222222222227E-3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Mise en tension</vt:lpstr>
      <vt:lpstr>Mise en 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</dc:creator>
  <cp:lastModifiedBy>Y</cp:lastModifiedBy>
  <dcterms:created xsi:type="dcterms:W3CDTF">2025-05-15T14:49:54Z</dcterms:created>
  <dcterms:modified xsi:type="dcterms:W3CDTF">2025-05-17T18:45:14Z</dcterms:modified>
</cp:coreProperties>
</file>