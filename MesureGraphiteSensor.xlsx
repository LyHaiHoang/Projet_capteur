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Projet_capteur\"/>
    </mc:Choice>
  </mc:AlternateContent>
  <xr:revisionPtr revIDLastSave="0" documentId="13_ncr:1_{0B9A2360-E1AD-413A-8D77-6CFEE7D3DB54}" xr6:coauthVersionLast="40" xr6:coauthVersionMax="40" xr10:uidLastSave="{00000000-0000-0000-0000-000000000000}"/>
  <bookViews>
    <workbookView xWindow="0" yWindow="0" windowWidth="23040" windowHeight="9048" activeTab="1" xr2:uid="{26616443-A70B-4F30-8590-3C8F2284DA29}"/>
  </bookViews>
  <sheets>
    <sheet name="Feuil1" sheetId="1" r:id="rId1"/>
    <sheet name="Mise en tension" sheetId="2" r:id="rId2"/>
    <sheet name="Mise en Compression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1" i="3" l="1"/>
  <c r="C11" i="3"/>
  <c r="D10" i="3"/>
  <c r="C10" i="3"/>
  <c r="D9" i="3"/>
  <c r="C9" i="3"/>
  <c r="D8" i="3"/>
  <c r="C8" i="3"/>
  <c r="D7" i="3"/>
  <c r="C7" i="3"/>
  <c r="D6" i="3"/>
  <c r="C6" i="3"/>
  <c r="C7" i="2"/>
  <c r="C8" i="2"/>
  <c r="C9" i="2"/>
  <c r="C10" i="2"/>
  <c r="C11" i="2"/>
  <c r="C6" i="2"/>
  <c r="D7" i="2"/>
  <c r="D8" i="2"/>
  <c r="D9" i="2"/>
  <c r="D10" i="2"/>
  <c r="D11" i="2"/>
  <c r="D6" i="2"/>
  <c r="C21" i="1" l="1"/>
  <c r="C22" i="1"/>
  <c r="C23" i="1"/>
  <c r="C24" i="1"/>
  <c r="C25" i="1"/>
  <c r="C26" i="1"/>
  <c r="C27" i="1"/>
  <c r="C17" i="1"/>
  <c r="C16" i="1"/>
  <c r="C15" i="1"/>
  <c r="C14" i="1"/>
  <c r="C7" i="1"/>
  <c r="C13" i="1"/>
  <c r="C12" i="1"/>
  <c r="C11" i="1"/>
  <c r="C8" i="1"/>
  <c r="C9" i="1"/>
  <c r="C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</author>
  </authors>
  <commentList>
    <comment ref="D14" authorId="0" shapeId="0" xr:uid="{FE885492-DFA0-4FE2-AE31-681DCE5B7247}">
      <text>
        <r>
          <rPr>
            <b/>
            <sz val="9"/>
            <color indexed="81"/>
            <rFont val="Tahoma"/>
            <family val="2"/>
          </rPr>
          <t>Y:</t>
        </r>
        <r>
          <rPr>
            <sz val="9"/>
            <color indexed="81"/>
            <rFont val="Tahoma"/>
            <family val="2"/>
          </rPr>
          <t xml:space="preserve">
2,23V
179588032</t>
        </r>
      </text>
    </comment>
    <comment ref="D24" authorId="0" shapeId="0" xr:uid="{AF994D20-BA4B-4A31-ACB8-2052DE459938}">
      <text>
        <r>
          <rPr>
            <b/>
            <sz val="9"/>
            <color indexed="81"/>
            <rFont val="Tahoma"/>
            <family val="2"/>
          </rPr>
          <t>Y:</t>
        </r>
        <r>
          <rPr>
            <sz val="9"/>
            <color indexed="81"/>
            <rFont val="Tahoma"/>
            <family val="2"/>
          </rPr>
          <t xml:space="preserve">
2,23V
179588032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</author>
  </authors>
  <commentList>
    <comment ref="E8" authorId="0" shapeId="0" xr:uid="{B23A6775-1F38-4D1C-A169-FCC8B1D3E988}">
      <text>
        <r>
          <rPr>
            <b/>
            <sz val="9"/>
            <color indexed="81"/>
            <rFont val="Tahoma"/>
            <family val="2"/>
          </rPr>
          <t>Y:</t>
        </r>
        <r>
          <rPr>
            <sz val="9"/>
            <color indexed="81"/>
            <rFont val="Tahoma"/>
            <family val="2"/>
          </rPr>
          <t xml:space="preserve">
2,23V
179588032</t>
        </r>
      </text>
    </comment>
  </commentList>
</comments>
</file>

<file path=xl/sharedStrings.xml><?xml version="1.0" encoding="utf-8"?>
<sst xmlns="http://schemas.openxmlformats.org/spreadsheetml/2006/main" count="24" uniqueCount="12">
  <si>
    <t>Graphite Sensor</t>
  </si>
  <si>
    <t>Tension</t>
  </si>
  <si>
    <t>Rayon de courbure (m)</t>
  </si>
  <si>
    <t>Déformation (m)</t>
  </si>
  <si>
    <t>Crayon 2HB</t>
  </si>
  <si>
    <t>Resistance (ohm)</t>
  </si>
  <si>
    <t>Numéro cercle</t>
  </si>
  <si>
    <t>Rayon (mm)</t>
  </si>
  <si>
    <t>160 g.m-2</t>
  </si>
  <si>
    <t>e (mm)</t>
  </si>
  <si>
    <t>Courbure (mm-1)</t>
  </si>
  <si>
    <t>Déformation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</si>
</sst>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11D32-753C-406C-A8AF-6D384DFD9D4A}">
  <dimension ref="A1:E27"/>
  <sheetViews>
    <sheetView workbookViewId="0">
      <selection activeCell="B4" sqref="B4"/>
    </sheetView>
  </sheetViews>
  <sheetFormatPr baseColWidth="10" defaultRowHeight="14.4" x14ac:dyDescent="0.3"/>
  <cols>
    <col min="2" max="2" width="19.44140625" customWidth="1"/>
    <col min="3" max="3" width="19.5546875" customWidth="1"/>
    <col min="5" max="5" width="15.88671875" customWidth="1"/>
    <col min="7" max="7" width="11.5546875" customWidth="1"/>
  </cols>
  <sheetData>
    <row r="1" spans="1:5" x14ac:dyDescent="0.3">
      <c r="B1" t="s">
        <v>0</v>
      </c>
    </row>
    <row r="4" spans="1:5" x14ac:dyDescent="0.3">
      <c r="B4" t="s">
        <v>4</v>
      </c>
    </row>
    <row r="5" spans="1:5" x14ac:dyDescent="0.3">
      <c r="B5" t="s">
        <v>2</v>
      </c>
      <c r="C5" t="s">
        <v>3</v>
      </c>
      <c r="D5" t="s">
        <v>1</v>
      </c>
      <c r="E5" t="s">
        <v>5</v>
      </c>
    </row>
    <row r="6" spans="1:5" x14ac:dyDescent="0.3">
      <c r="B6">
        <v>0</v>
      </c>
      <c r="C6">
        <v>0</v>
      </c>
      <c r="D6">
        <v>4.99</v>
      </c>
      <c r="E6">
        <v>80146904</v>
      </c>
    </row>
    <row r="7" spans="1:5" x14ac:dyDescent="0.3">
      <c r="B7">
        <v>0.01</v>
      </c>
      <c r="C7">
        <f>'Mise en tension'!$B$1/(2*B7)</f>
        <v>9.5</v>
      </c>
    </row>
    <row r="8" spans="1:5" x14ac:dyDescent="0.3">
      <c r="B8">
        <v>1.2500000000000001E-2</v>
      </c>
      <c r="C8">
        <f>'Mise en tension'!$B$1/(2*B8)</f>
        <v>7.6</v>
      </c>
    </row>
    <row r="9" spans="1:5" x14ac:dyDescent="0.3">
      <c r="B9">
        <v>1.4999999999999999E-2</v>
      </c>
      <c r="C9">
        <f>'Mise en tension'!$B$1/(2*B9)</f>
        <v>6.3333333333333339</v>
      </c>
    </row>
    <row r="10" spans="1:5" x14ac:dyDescent="0.3">
      <c r="B10">
        <v>1.7500000000000002E-2</v>
      </c>
      <c r="C10">
        <f>'Mise en tension'!$B$1/(2*B10)</f>
        <v>5.4285714285714279</v>
      </c>
    </row>
    <row r="11" spans="1:5" x14ac:dyDescent="0.3">
      <c r="A11">
        <v>1</v>
      </c>
      <c r="B11">
        <v>0.02</v>
      </c>
      <c r="C11">
        <f>'Mise en tension'!$B$1/(2*B11)</f>
        <v>4.75</v>
      </c>
      <c r="D11">
        <v>2.52</v>
      </c>
      <c r="E11">
        <v>158692912</v>
      </c>
    </row>
    <row r="12" spans="1:5" x14ac:dyDescent="0.3">
      <c r="B12">
        <v>2.2499999999999999E-2</v>
      </c>
      <c r="C12">
        <f>'Mise en tension'!$B$1/(2*B12)</f>
        <v>4.2222222222222223</v>
      </c>
    </row>
    <row r="13" spans="1:5" x14ac:dyDescent="0.3">
      <c r="A13">
        <v>2</v>
      </c>
      <c r="B13">
        <v>2.5000000000000001E-2</v>
      </c>
      <c r="C13">
        <f>'Mise en tension'!$B$1/(2*B13)</f>
        <v>3.8</v>
      </c>
      <c r="D13">
        <v>2.35</v>
      </c>
      <c r="E13">
        <v>170603136</v>
      </c>
    </row>
    <row r="14" spans="1:5" x14ac:dyDescent="0.3">
      <c r="A14">
        <v>3</v>
      </c>
      <c r="B14">
        <v>0.03</v>
      </c>
      <c r="C14">
        <f>'Mise en tension'!$B$1/(2*B14)</f>
        <v>3.166666666666667</v>
      </c>
      <c r="D14">
        <v>2.31</v>
      </c>
      <c r="E14">
        <v>173129536</v>
      </c>
    </row>
    <row r="15" spans="1:5" x14ac:dyDescent="0.3">
      <c r="A15">
        <v>4</v>
      </c>
      <c r="B15">
        <v>3.5000000000000003E-2</v>
      </c>
      <c r="C15">
        <f>'Mise en tension'!$B$1/(2*B15)</f>
        <v>2.714285714285714</v>
      </c>
      <c r="D15">
        <v>1.96</v>
      </c>
      <c r="E15">
        <v>203726560</v>
      </c>
    </row>
    <row r="16" spans="1:5" x14ac:dyDescent="0.3">
      <c r="B16">
        <v>0.04</v>
      </c>
      <c r="C16">
        <f>'Mise en tension'!$B$1/(2*B16)</f>
        <v>2.375</v>
      </c>
    </row>
    <row r="17" spans="1:5" x14ac:dyDescent="0.3">
      <c r="B17">
        <v>4.4999999999999998E-2</v>
      </c>
      <c r="C17">
        <f>'Mise en tension'!$B$1/(2*B17)</f>
        <v>2.1111111111111112</v>
      </c>
    </row>
    <row r="21" spans="1:5" x14ac:dyDescent="0.3">
      <c r="A21">
        <v>0</v>
      </c>
      <c r="B21">
        <v>1</v>
      </c>
      <c r="C21">
        <f>'Mise en tension'!$B$1/(2*B21)</f>
        <v>9.5000000000000001E-2</v>
      </c>
    </row>
    <row r="22" spans="1:5" x14ac:dyDescent="0.3">
      <c r="A22">
        <v>1</v>
      </c>
      <c r="B22">
        <v>4.4999999999999998E-2</v>
      </c>
      <c r="C22">
        <f>'Mise en tension'!$B$1/(2*B22)</f>
        <v>2.1111111111111112</v>
      </c>
      <c r="D22">
        <v>2.52</v>
      </c>
      <c r="E22">
        <v>158692912</v>
      </c>
    </row>
    <row r="23" spans="1:5" x14ac:dyDescent="0.3">
      <c r="A23">
        <v>2</v>
      </c>
      <c r="B23">
        <v>0.04</v>
      </c>
      <c r="C23">
        <f>'Mise en tension'!$B$1/(2*B23)</f>
        <v>2.375</v>
      </c>
      <c r="D23">
        <v>2.35</v>
      </c>
      <c r="E23">
        <v>170603136</v>
      </c>
    </row>
    <row r="24" spans="1:5" x14ac:dyDescent="0.3">
      <c r="A24">
        <v>3</v>
      </c>
      <c r="B24">
        <v>3.5000000000000003E-2</v>
      </c>
      <c r="C24">
        <f>'Mise en tension'!$B$1/(2*B24)</f>
        <v>2.714285714285714</v>
      </c>
      <c r="D24">
        <v>2.31</v>
      </c>
      <c r="E24">
        <v>173129536</v>
      </c>
    </row>
    <row r="25" spans="1:5" x14ac:dyDescent="0.3">
      <c r="A25">
        <v>4</v>
      </c>
      <c r="B25">
        <v>0.03</v>
      </c>
      <c r="C25">
        <f>'Mise en tension'!$B$1/(2*B25)</f>
        <v>3.166666666666667</v>
      </c>
      <c r="D25">
        <v>1.96</v>
      </c>
      <c r="E25">
        <v>203726560</v>
      </c>
    </row>
    <row r="26" spans="1:5" x14ac:dyDescent="0.3">
      <c r="A26">
        <v>5</v>
      </c>
      <c r="B26">
        <v>2.5000000000000001E-2</v>
      </c>
      <c r="C26">
        <f>'Mise en tension'!$B$1/(2*B26)</f>
        <v>3.8</v>
      </c>
      <c r="D26">
        <v>1.99</v>
      </c>
      <c r="E26">
        <v>201222432</v>
      </c>
    </row>
    <row r="27" spans="1:5" x14ac:dyDescent="0.3">
      <c r="A27">
        <v>6</v>
      </c>
      <c r="B27">
        <v>0.02</v>
      </c>
      <c r="C27">
        <f>'Mise en tension'!$B$1/(2*B27)</f>
        <v>4.75</v>
      </c>
      <c r="D27">
        <v>1.95</v>
      </c>
      <c r="E27">
        <v>205259168</v>
      </c>
    </row>
  </sheetData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F43EA-3DC9-4855-BEED-2A1578264041}">
  <dimension ref="A1:F11"/>
  <sheetViews>
    <sheetView tabSelected="1" workbookViewId="0">
      <selection activeCell="D12" sqref="D12"/>
    </sheetView>
  </sheetViews>
  <sheetFormatPr baseColWidth="10" defaultRowHeight="14.4" x14ac:dyDescent="0.3"/>
  <cols>
    <col min="1" max="1" width="15.33203125" customWidth="1"/>
    <col min="3" max="3" width="15.77734375" customWidth="1"/>
    <col min="4" max="4" width="18.109375" customWidth="1"/>
    <col min="6" max="6" width="18.6640625" customWidth="1"/>
  </cols>
  <sheetData>
    <row r="1" spans="1:6" x14ac:dyDescent="0.3">
      <c r="A1" t="s">
        <v>9</v>
      </c>
      <c r="B1">
        <v>0.19</v>
      </c>
      <c r="C1" t="s">
        <v>8</v>
      </c>
    </row>
    <row r="3" spans="1:6" x14ac:dyDescent="0.3">
      <c r="B3" t="s">
        <v>4</v>
      </c>
    </row>
    <row r="4" spans="1:6" x14ac:dyDescent="0.3">
      <c r="A4" t="s">
        <v>6</v>
      </c>
      <c r="B4" t="s">
        <v>7</v>
      </c>
      <c r="C4" t="s">
        <v>10</v>
      </c>
      <c r="D4" t="s">
        <v>11</v>
      </c>
      <c r="E4" t="s">
        <v>1</v>
      </c>
      <c r="F4" t="s">
        <v>5</v>
      </c>
    </row>
    <row r="5" spans="1:6" x14ac:dyDescent="0.3">
      <c r="A5">
        <v>0</v>
      </c>
      <c r="C5">
        <v>0</v>
      </c>
      <c r="D5">
        <v>0</v>
      </c>
      <c r="E5">
        <v>4.99</v>
      </c>
      <c r="F5">
        <v>80146904</v>
      </c>
    </row>
    <row r="6" spans="1:6" x14ac:dyDescent="0.3">
      <c r="A6">
        <v>1</v>
      </c>
      <c r="B6">
        <v>10</v>
      </c>
      <c r="C6">
        <f>1/B6</f>
        <v>0.1</v>
      </c>
      <c r="D6">
        <f>$B$1/(2*B6)</f>
        <v>9.4999999999999998E-3</v>
      </c>
      <c r="E6">
        <v>2.52</v>
      </c>
      <c r="F6">
        <v>158692912</v>
      </c>
    </row>
    <row r="7" spans="1:6" x14ac:dyDescent="0.3">
      <c r="A7">
        <v>2</v>
      </c>
      <c r="B7">
        <v>12.5</v>
      </c>
      <c r="C7">
        <f t="shared" ref="C7:C11" si="0">1/B7</f>
        <v>0.08</v>
      </c>
      <c r="D7">
        <f t="shared" ref="D7:D11" si="1">$B$1/(2*B7)</f>
        <v>7.6E-3</v>
      </c>
      <c r="E7">
        <v>2.35</v>
      </c>
      <c r="F7">
        <v>170603136</v>
      </c>
    </row>
    <row r="8" spans="1:6" x14ac:dyDescent="0.3">
      <c r="A8">
        <v>3</v>
      </c>
      <c r="B8">
        <v>15</v>
      </c>
      <c r="C8">
        <f t="shared" si="0"/>
        <v>6.6666666666666666E-2</v>
      </c>
      <c r="D8">
        <f t="shared" si="1"/>
        <v>6.3333333333333332E-3</v>
      </c>
      <c r="E8">
        <v>2.31</v>
      </c>
      <c r="F8">
        <v>173129536</v>
      </c>
    </row>
    <row r="9" spans="1:6" x14ac:dyDescent="0.3">
      <c r="A9">
        <v>4</v>
      </c>
      <c r="B9">
        <v>17.5</v>
      </c>
      <c r="C9">
        <f t="shared" si="0"/>
        <v>5.7142857142857141E-2</v>
      </c>
      <c r="D9">
        <f t="shared" si="1"/>
        <v>5.4285714285714284E-3</v>
      </c>
      <c r="E9">
        <v>1.96</v>
      </c>
      <c r="F9">
        <v>203726560</v>
      </c>
    </row>
    <row r="10" spans="1:6" x14ac:dyDescent="0.3">
      <c r="A10">
        <v>5</v>
      </c>
      <c r="B10">
        <v>20</v>
      </c>
      <c r="C10">
        <f t="shared" si="0"/>
        <v>0.05</v>
      </c>
      <c r="D10">
        <f t="shared" si="1"/>
        <v>4.7499999999999999E-3</v>
      </c>
      <c r="E10">
        <v>1.99</v>
      </c>
      <c r="F10">
        <v>201222432</v>
      </c>
    </row>
    <row r="11" spans="1:6" x14ac:dyDescent="0.3">
      <c r="A11">
        <v>6</v>
      </c>
      <c r="B11">
        <v>22.5</v>
      </c>
      <c r="C11">
        <f t="shared" si="0"/>
        <v>4.4444444444444446E-2</v>
      </c>
      <c r="D11">
        <f t="shared" si="1"/>
        <v>4.2222222222222227E-3</v>
      </c>
      <c r="E11">
        <v>1.95</v>
      </c>
      <c r="F11">
        <v>205259168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AF0D7-39AE-4084-9990-73C2329F5B1A}">
  <dimension ref="A1:F11"/>
  <sheetViews>
    <sheetView workbookViewId="0">
      <selection activeCell="E11" sqref="E11"/>
    </sheetView>
  </sheetViews>
  <sheetFormatPr baseColWidth="10" defaultRowHeight="14.4" x14ac:dyDescent="0.3"/>
  <sheetData>
    <row r="1" spans="1:6" x14ac:dyDescent="0.3">
      <c r="A1" t="s">
        <v>9</v>
      </c>
      <c r="B1">
        <v>0.19</v>
      </c>
      <c r="C1" t="s">
        <v>8</v>
      </c>
    </row>
    <row r="3" spans="1:6" x14ac:dyDescent="0.3">
      <c r="B3" t="s">
        <v>4</v>
      </c>
    </row>
    <row r="4" spans="1:6" x14ac:dyDescent="0.3">
      <c r="A4" t="s">
        <v>6</v>
      </c>
      <c r="B4" t="s">
        <v>7</v>
      </c>
      <c r="C4" t="s">
        <v>10</v>
      </c>
      <c r="D4" t="s">
        <v>3</v>
      </c>
      <c r="E4" t="s">
        <v>1</v>
      </c>
      <c r="F4" t="s">
        <v>5</v>
      </c>
    </row>
    <row r="5" spans="1:6" x14ac:dyDescent="0.3">
      <c r="A5">
        <v>0</v>
      </c>
      <c r="C5">
        <v>0</v>
      </c>
      <c r="D5">
        <v>0</v>
      </c>
    </row>
    <row r="6" spans="1:6" x14ac:dyDescent="0.3">
      <c r="A6">
        <v>1</v>
      </c>
      <c r="B6">
        <v>10</v>
      </c>
      <c r="C6">
        <f>1/B6</f>
        <v>0.1</v>
      </c>
      <c r="D6">
        <f>$B$1/(2*B6)</f>
        <v>9.4999999999999998E-3</v>
      </c>
    </row>
    <row r="7" spans="1:6" x14ac:dyDescent="0.3">
      <c r="A7">
        <v>2</v>
      </c>
      <c r="B7">
        <v>12.5</v>
      </c>
      <c r="C7">
        <f t="shared" ref="C7:C11" si="0">1/B7</f>
        <v>0.08</v>
      </c>
      <c r="D7">
        <f t="shared" ref="D7:D11" si="1">$B$1/(2*B7)</f>
        <v>7.6E-3</v>
      </c>
    </row>
    <row r="8" spans="1:6" x14ac:dyDescent="0.3">
      <c r="A8">
        <v>3</v>
      </c>
      <c r="B8">
        <v>15</v>
      </c>
      <c r="C8">
        <f t="shared" si="0"/>
        <v>6.6666666666666666E-2</v>
      </c>
      <c r="D8">
        <f t="shared" si="1"/>
        <v>6.3333333333333332E-3</v>
      </c>
    </row>
    <row r="9" spans="1:6" x14ac:dyDescent="0.3">
      <c r="A9">
        <v>4</v>
      </c>
      <c r="B9">
        <v>17.5</v>
      </c>
      <c r="C9">
        <f t="shared" si="0"/>
        <v>5.7142857142857141E-2</v>
      </c>
      <c r="D9">
        <f t="shared" si="1"/>
        <v>5.4285714285714284E-3</v>
      </c>
    </row>
    <row r="10" spans="1:6" x14ac:dyDescent="0.3">
      <c r="A10">
        <v>5</v>
      </c>
      <c r="B10">
        <v>20</v>
      </c>
      <c r="C10">
        <f t="shared" si="0"/>
        <v>0.05</v>
      </c>
      <c r="D10">
        <f t="shared" si="1"/>
        <v>4.7499999999999999E-3</v>
      </c>
    </row>
    <row r="11" spans="1:6" x14ac:dyDescent="0.3">
      <c r="A11">
        <v>6</v>
      </c>
      <c r="B11">
        <v>22.5</v>
      </c>
      <c r="C11">
        <f t="shared" si="0"/>
        <v>4.4444444444444446E-2</v>
      </c>
      <c r="D11">
        <f t="shared" si="1"/>
        <v>4.2222222222222227E-3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Mise en tension</vt:lpstr>
      <vt:lpstr>Mise en Compression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</dc:creator>
  <cp:lastModifiedBy>Y</cp:lastModifiedBy>
  <dcterms:created xsi:type="dcterms:W3CDTF">2025-05-15T14:49:54Z</dcterms:created>
  <dcterms:modified xsi:type="dcterms:W3CDTF">2025-05-17T09:08:24Z</dcterms:modified>
</cp:coreProperties>
</file>